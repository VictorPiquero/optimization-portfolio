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optimization-portfolio\optimization-portfolio\01_linear_programming\Fixed_charge\"/>
    </mc:Choice>
  </mc:AlternateContent>
  <xr:revisionPtr revIDLastSave="0" documentId="13_ncr:1_{5B46545B-2140-4614-B0BD-F6C25840CA67}" xr6:coauthVersionLast="47" xr6:coauthVersionMax="47" xr10:uidLastSave="{00000000-0000-0000-0000-000000000000}"/>
  <bookViews>
    <workbookView xWindow="-110" yWindow="-110" windowWidth="19420" windowHeight="11500" xr2:uid="{6179CA3F-A36C-429C-B922-839980D451CB}"/>
  </bookViews>
  <sheets>
    <sheet name="Hoja1" sheetId="1" r:id="rId1"/>
  </sheets>
  <definedNames>
    <definedName name="solver_adj" localSheetId="0" hidden="1">Hoja1!$B$5:$C$7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Hoja1!$B$5:$B$7</definedName>
    <definedName name="solver_lhs2" localSheetId="0" hidden="1">Hoja1!$C$5:$C$7</definedName>
    <definedName name="solver_lhs3" localSheetId="0" hidden="1">Hoja1!$C$5:$C$7</definedName>
    <definedName name="solver_lhs4" localSheetId="0" hidden="1">Hoja1!$G$8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Hoja1!$C$9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1</definedName>
    <definedName name="solver_rel3" localSheetId="0" hidden="1">4</definedName>
    <definedName name="solver_rel4" localSheetId="0" hidden="1">3</definedName>
    <definedName name="solver_rhs1" localSheetId="0" hidden="1">"binario"</definedName>
    <definedName name="solver_rhs2" localSheetId="0" hidden="1">Hoja1!$F$5:$F$7</definedName>
    <definedName name="solver_rhs3" localSheetId="0" hidden="1">"entero"</definedName>
    <definedName name="solver_rhs4" localSheetId="0" hidden="1">Hoja1!$G$9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G8" i="1"/>
  <c r="C9" i="1"/>
</calcChain>
</file>

<file path=xl/sharedStrings.xml><?xml version="1.0" encoding="utf-8"?>
<sst xmlns="http://schemas.openxmlformats.org/spreadsheetml/2006/main" count="11" uniqueCount="11">
  <si>
    <t>Plant</t>
  </si>
  <si>
    <t>Units</t>
  </si>
  <si>
    <t>Baytown</t>
  </si>
  <si>
    <t>Lake Charles</t>
  </si>
  <si>
    <t>Mobile</t>
  </si>
  <si>
    <t>Fixed_Cost</t>
  </si>
  <si>
    <t>Unit_Cost</t>
  </si>
  <si>
    <t>O.F.</t>
  </si>
  <si>
    <t>Lim_Capacity</t>
  </si>
  <si>
    <t>Produce</t>
  </si>
  <si>
    <t>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</si>
</sst>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16F6-0282-412C-B067-626BB089915D}">
  <dimension ref="A4:I10"/>
  <sheetViews>
    <sheetView tabSelected="1" workbookViewId="0">
      <selection activeCell="I10" sqref="I10"/>
    </sheetView>
  </sheetViews>
  <sheetFormatPr baseColWidth="10" defaultRowHeight="14.5" x14ac:dyDescent="0.35"/>
  <cols>
    <col min="1" max="1" width="12.26953125" customWidth="1"/>
    <col min="6" max="6" width="12.36328125" customWidth="1"/>
    <col min="7" max="8" width="10.90625" customWidth="1"/>
  </cols>
  <sheetData>
    <row r="4" spans="1:9" x14ac:dyDescent="0.35">
      <c r="B4" s="3" t="s">
        <v>0</v>
      </c>
      <c r="C4" s="3" t="s">
        <v>1</v>
      </c>
      <c r="D4" s="3" t="s">
        <v>5</v>
      </c>
      <c r="E4" s="3" t="s">
        <v>6</v>
      </c>
      <c r="F4" s="4" t="s">
        <v>8</v>
      </c>
      <c r="G4" s="4" t="s">
        <v>9</v>
      </c>
    </row>
    <row r="5" spans="1:9" x14ac:dyDescent="0.35">
      <c r="A5" s="5" t="s">
        <v>2</v>
      </c>
      <c r="B5" s="1">
        <v>0</v>
      </c>
      <c r="C5" s="1">
        <v>0</v>
      </c>
      <c r="D5" s="1">
        <v>340000</v>
      </c>
      <c r="E5" s="1">
        <v>32</v>
      </c>
      <c r="F5" s="1">
        <f>21000*B5</f>
        <v>0</v>
      </c>
      <c r="G5" s="2">
        <v>1</v>
      </c>
    </row>
    <row r="6" spans="1:9" x14ac:dyDescent="0.35">
      <c r="A6" s="5" t="s">
        <v>3</v>
      </c>
      <c r="B6" s="1">
        <v>1</v>
      </c>
      <c r="C6" s="1">
        <v>19000</v>
      </c>
      <c r="D6" s="1">
        <v>270000</v>
      </c>
      <c r="E6" s="1">
        <v>33</v>
      </c>
      <c r="F6" s="1">
        <f>20000*B6</f>
        <v>20000</v>
      </c>
      <c r="G6" s="2">
        <v>1</v>
      </c>
    </row>
    <row r="7" spans="1:9" x14ac:dyDescent="0.35">
      <c r="A7" s="5" t="s">
        <v>4</v>
      </c>
      <c r="B7" s="1">
        <v>1</v>
      </c>
      <c r="C7" s="1">
        <v>19000</v>
      </c>
      <c r="D7" s="1">
        <v>290000</v>
      </c>
      <c r="E7" s="1">
        <v>30</v>
      </c>
      <c r="F7" s="1">
        <f>19000*B7</f>
        <v>19000</v>
      </c>
      <c r="G7" s="2">
        <v>1</v>
      </c>
    </row>
    <row r="8" spans="1:9" x14ac:dyDescent="0.35">
      <c r="G8" s="1">
        <f>SUMPRODUCT(C5:C7,G5:G7)</f>
        <v>38000</v>
      </c>
    </row>
    <row r="9" spans="1:9" x14ac:dyDescent="0.35">
      <c r="B9" s="6" t="s">
        <v>7</v>
      </c>
      <c r="C9" s="1">
        <f>SUMPRODUCT(B5:B7,D5:D7)+SUMPRODUCT(C5:C7,E5:E7)</f>
        <v>1757000</v>
      </c>
      <c r="F9" s="7" t="s">
        <v>10</v>
      </c>
      <c r="G9" s="1">
        <v>38000</v>
      </c>
    </row>
    <row r="10" spans="1:9" x14ac:dyDescent="0.35">
      <c r="I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Piquero Moreno</dc:creator>
  <cp:lastModifiedBy>Víctor Piquero Moreno</cp:lastModifiedBy>
  <dcterms:created xsi:type="dcterms:W3CDTF">2026-09-24T21:42:36Z</dcterms:created>
  <dcterms:modified xsi:type="dcterms:W3CDTF">2026-09-24T22:13:35Z</dcterms:modified>
</cp:coreProperties>
</file>