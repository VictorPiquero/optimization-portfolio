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\Desktop\Ciencia de datos\"/>
    </mc:Choice>
  </mc:AlternateContent>
  <xr:revisionPtr revIDLastSave="0" documentId="13_ncr:1_{C9F96ECF-732F-49BF-A64A-AE9F4F1F68F2}" xr6:coauthVersionLast="47" xr6:coauthVersionMax="47" xr10:uidLastSave="{00000000-0000-0000-0000-000000000000}"/>
  <bookViews>
    <workbookView xWindow="-110" yWindow="-110" windowWidth="19420" windowHeight="11500" xr2:uid="{EA620E71-86CA-4868-865D-821784F5EA85}"/>
  </bookViews>
  <sheets>
    <sheet name="Hoja1" sheetId="1" r:id="rId1"/>
  </sheets>
  <definedNames>
    <definedName name="solver_adj" localSheetId="0" hidden="1">Hoja1!$D$2:$D$4,Hoja1!$B$10:$C$12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Hoja1!$B$5:$C$5</definedName>
    <definedName name="solver_lhs2" localSheetId="0" hidden="1">Hoja1!$D$10:$D$12</definedName>
    <definedName name="solver_lhs3" localSheetId="0" hidden="1">Hoja1!$D$2:$D$4</definedName>
    <definedName name="solver_lhs4" localSheetId="0" hidden="1">Hoja1!$D$2:$D$4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Hoja1!$D$19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2</definedName>
    <definedName name="solver_rel3" localSheetId="0" hidden="1">4</definedName>
    <definedName name="solver_rel4" localSheetId="0" hidden="1">4</definedName>
    <definedName name="solver_rhs1" localSheetId="0" hidden="1">Hoja1!$B$6:$C$6</definedName>
    <definedName name="solver_rhs2" localSheetId="0" hidden="1">Hoja1!$E$10:$E$12</definedName>
    <definedName name="solver_rhs3" localSheetId="0" hidden="1">"entero"</definedName>
    <definedName name="solver_rhs4" localSheetId="0" hidden="1">"entero"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C15" i="1"/>
  <c r="B16" i="1"/>
  <c r="B15" i="1"/>
  <c r="D12" i="1" l="1"/>
  <c r="D5" i="1"/>
  <c r="D11" i="1" s="1"/>
  <c r="E5" i="1"/>
  <c r="D10" i="1" s="1"/>
  <c r="C5" i="1"/>
  <c r="B5" i="1"/>
  <c r="E12" i="1" l="1"/>
  <c r="C17" i="1" l="1"/>
  <c r="B17" i="1"/>
  <c r="D19" i="1" s="1"/>
</calcChain>
</file>

<file path=xl/sharedStrings.xml><?xml version="1.0" encoding="utf-8"?>
<sst xmlns="http://schemas.openxmlformats.org/spreadsheetml/2006/main" count="22" uniqueCount="20">
  <si>
    <t>Producto</t>
  </si>
  <si>
    <t>vegano</t>
  </si>
  <si>
    <t>proteico</t>
  </si>
  <si>
    <t>trad</t>
  </si>
  <si>
    <t>Cocina</t>
  </si>
  <si>
    <t>Envasado</t>
  </si>
  <si>
    <t>unidades</t>
  </si>
  <si>
    <t>Goals</t>
  </si>
  <si>
    <t>beneficio</t>
  </si>
  <si>
    <t>cantidad total</t>
  </si>
  <si>
    <t>cantidad vegan</t>
  </si>
  <si>
    <t>LHS</t>
  </si>
  <si>
    <t>total</t>
  </si>
  <si>
    <t>RHS</t>
  </si>
  <si>
    <t>d por arriba</t>
  </si>
  <si>
    <t>d por abajo</t>
  </si>
  <si>
    <t>d relat arr</t>
  </si>
  <si>
    <t>d relat abaj</t>
  </si>
  <si>
    <t>suma desviaciones</t>
  </si>
  <si>
    <t>OF beneficio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</si>
</sst>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CC0D8-F3CF-4881-8927-EC8F2A7F1F2C}">
  <dimension ref="A1:I19"/>
  <sheetViews>
    <sheetView tabSelected="1" workbookViewId="0">
      <selection activeCell="F15" sqref="F15"/>
    </sheetView>
  </sheetViews>
  <sheetFormatPr baseColWidth="10" defaultRowHeight="14.5" x14ac:dyDescent="0.35"/>
  <sheetData>
    <row r="1" spans="1:9" x14ac:dyDescent="0.35">
      <c r="A1" t="s">
        <v>0</v>
      </c>
      <c r="B1" t="s">
        <v>4</v>
      </c>
      <c r="C1" t="s">
        <v>5</v>
      </c>
      <c r="D1" t="s">
        <v>6</v>
      </c>
      <c r="E1" t="s">
        <v>8</v>
      </c>
    </row>
    <row r="2" spans="1:9" x14ac:dyDescent="0.35">
      <c r="A2" t="s">
        <v>1</v>
      </c>
      <c r="B2">
        <v>2</v>
      </c>
      <c r="C2">
        <v>1</v>
      </c>
      <c r="D2">
        <v>46</v>
      </c>
      <c r="E2">
        <v>20</v>
      </c>
      <c r="H2" t="s">
        <v>19</v>
      </c>
      <c r="I2">
        <v>1600</v>
      </c>
    </row>
    <row r="3" spans="1:9" x14ac:dyDescent="0.35">
      <c r="A3" t="s">
        <v>2</v>
      </c>
      <c r="B3">
        <v>2</v>
      </c>
      <c r="C3">
        <v>2</v>
      </c>
      <c r="D3">
        <v>1</v>
      </c>
      <c r="E3">
        <v>30</v>
      </c>
    </row>
    <row r="4" spans="1:9" x14ac:dyDescent="0.35">
      <c r="A4" t="s">
        <v>3</v>
      </c>
      <c r="B4">
        <v>1</v>
      </c>
      <c r="C4">
        <v>2</v>
      </c>
      <c r="D4">
        <v>26</v>
      </c>
      <c r="E4">
        <v>25</v>
      </c>
    </row>
    <row r="5" spans="1:9" x14ac:dyDescent="0.35">
      <c r="A5" t="s">
        <v>12</v>
      </c>
      <c r="B5">
        <f>SUMPRODUCT($D$2:$D$4,B2:B4)</f>
        <v>120</v>
      </c>
      <c r="C5">
        <f>SUMPRODUCT($D$2:$D$4,C2:C4)</f>
        <v>100</v>
      </c>
      <c r="D5">
        <f>SUM(D2:D4)</f>
        <v>73</v>
      </c>
      <c r="E5">
        <f>SUMPRODUCT(D2:D4,E2:E4)</f>
        <v>1600</v>
      </c>
    </row>
    <row r="6" spans="1:9" x14ac:dyDescent="0.35">
      <c r="A6" t="s">
        <v>13</v>
      </c>
      <c r="B6">
        <v>120</v>
      </c>
      <c r="C6">
        <v>100</v>
      </c>
    </row>
    <row r="9" spans="1:9" x14ac:dyDescent="0.35">
      <c r="A9" t="s">
        <v>7</v>
      </c>
      <c r="B9" t="s">
        <v>14</v>
      </c>
      <c r="C9" t="s">
        <v>15</v>
      </c>
      <c r="D9" t="s">
        <v>11</v>
      </c>
      <c r="E9" t="s">
        <v>13</v>
      </c>
    </row>
    <row r="10" spans="1:9" x14ac:dyDescent="0.35">
      <c r="A10" t="s">
        <v>8</v>
      </c>
      <c r="B10">
        <v>0</v>
      </c>
      <c r="C10">
        <v>0</v>
      </c>
      <c r="D10">
        <f>E5-B10+C10</f>
        <v>1600</v>
      </c>
      <c r="E10">
        <v>2000</v>
      </c>
    </row>
    <row r="11" spans="1:9" x14ac:dyDescent="0.35">
      <c r="A11" t="s">
        <v>9</v>
      </c>
      <c r="B11">
        <v>0</v>
      </c>
      <c r="C11">
        <v>0</v>
      </c>
      <c r="D11">
        <f>D5-B11+C11</f>
        <v>73</v>
      </c>
      <c r="E11">
        <v>80</v>
      </c>
    </row>
    <row r="12" spans="1:9" x14ac:dyDescent="0.35">
      <c r="A12" t="s">
        <v>10</v>
      </c>
      <c r="B12">
        <v>0</v>
      </c>
      <c r="C12">
        <v>0</v>
      </c>
      <c r="D12">
        <f>D2-B12+C12</f>
        <v>46</v>
      </c>
      <c r="E12">
        <f>0.4*D5</f>
        <v>29.200000000000003</v>
      </c>
    </row>
    <row r="14" spans="1:9" x14ac:dyDescent="0.35">
      <c r="B14" t="s">
        <v>16</v>
      </c>
      <c r="C14" t="s">
        <v>17</v>
      </c>
    </row>
    <row r="15" spans="1:9" x14ac:dyDescent="0.35">
      <c r="B15">
        <f>B10/$E10</f>
        <v>0</v>
      </c>
      <c r="C15">
        <f>C10/$E10</f>
        <v>0</v>
      </c>
    </row>
    <row r="16" spans="1:9" x14ac:dyDescent="0.35">
      <c r="B16">
        <f>B11/$E11</f>
        <v>0</v>
      </c>
      <c r="C16">
        <f>C11/$E11</f>
        <v>0</v>
      </c>
    </row>
    <row r="17" spans="2:4" x14ac:dyDescent="0.35">
      <c r="B17">
        <f>B12/$E12</f>
        <v>0</v>
      </c>
      <c r="C17">
        <f>C12/$E12</f>
        <v>0</v>
      </c>
    </row>
    <row r="19" spans="2:4" x14ac:dyDescent="0.35">
      <c r="B19" t="s">
        <v>18</v>
      </c>
      <c r="D19">
        <f>SUM(B15:C17)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Piquero Moreno</dc:creator>
  <cp:lastModifiedBy>Víctor Piquero Moreno</cp:lastModifiedBy>
  <dcterms:created xsi:type="dcterms:W3CDTF">2026-05-11T14:56:55Z</dcterms:created>
  <dcterms:modified xsi:type="dcterms:W3CDTF">2026-05-11T16:59:07Z</dcterms:modified>
</cp:coreProperties>
</file>